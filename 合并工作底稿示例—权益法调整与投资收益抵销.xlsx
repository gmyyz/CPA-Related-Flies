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01-子公司利润分配" sheetId="2" state="visible" r:id="rId2"/>
    <sheet xmlns:r="http://schemas.openxmlformats.org/officeDocument/2006/relationships" name="02-成本法转权益法" sheetId="3" state="visible" r:id="rId3"/>
    <sheet xmlns:r="http://schemas.openxmlformats.org/officeDocument/2006/relationships" name="03-调整与抵销分录" sheetId="4" state="visible" r:id="rId4"/>
    <sheet xmlns:r="http://schemas.openxmlformats.org/officeDocument/2006/relationships" name="04-合并所有者权益变动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-#,##0"/>
  </numFmts>
  <fonts count="8">
    <font>
      <name val="Calibri"/>
      <family val="2"/>
      <color theme="1"/>
      <sz val="11"/>
      <scheme val="minor"/>
    </font>
    <font>
      <name val="Microsoft YaHei"/>
      <b val="1"/>
      <color rgb="00FFFFFF"/>
      <sz val="16"/>
    </font>
    <font>
      <name val="Microsoft YaHei"/>
      <b val="1"/>
      <color rgb="00C00000"/>
    </font>
    <font>
      <name val="Microsoft YaHei"/>
      <b val="1"/>
      <sz val="11"/>
    </font>
    <font>
      <name val="Microsoft YaHei"/>
      <b val="1"/>
    </font>
    <font>
      <name val="Microsoft YaHei"/>
      <sz val="10"/>
    </font>
    <font>
      <name val="Microsoft YaHei"/>
      <b val="1"/>
      <sz val="10"/>
    </font>
    <font>
      <name val="Microsoft YaHei"/>
      <i val="1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9E1F2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EAF3F8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/>
      <top style="thin">
        <color rgb="00A6A6A6"/>
      </top>
      <bottom style="thin">
        <color rgb="00A6A6A6"/>
      </bottom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164" fontId="5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164" fontId="4" fillId="5" borderId="1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5" fillId="5" borderId="1" applyAlignment="1" pivotButton="0" quotePrefix="0" xfId="0">
      <alignment vertical="center" wrapText="1"/>
    </xf>
    <xf numFmtId="164" fontId="5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164" fontId="5" fillId="6" borderId="1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5" fillId="7" borderId="1" applyAlignment="1" pivotButton="0" quotePrefix="0" xfId="0">
      <alignment vertical="center" wrapText="1"/>
    </xf>
    <xf numFmtId="164" fontId="5" fillId="7" borderId="1" applyAlignment="1" pivotButton="0" quotePrefix="0" xfId="0">
      <alignment vertical="center" wrapText="1"/>
    </xf>
    <xf numFmtId="0" fontId="5" fillId="8" borderId="1" applyAlignment="1" pivotButton="0" quotePrefix="0" xfId="0">
      <alignment vertical="center" wrapText="1"/>
    </xf>
    <xf numFmtId="164" fontId="5" fillId="8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0" borderId="0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164" fontId="5" fillId="3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164" fontId="6" fillId="5" borderId="1" applyAlignment="1" pivotButton="0" quotePrefix="0" xfId="0">
      <alignment vertical="center" wrapText="1"/>
    </xf>
    <xf numFmtId="0" fontId="4" fillId="3" borderId="0" pivotButton="0" quotePrefix="0" xfId="0"/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25" customWidth="1" min="3" max="3"/>
    <col width="22" customWidth="1" min="4" max="4"/>
    <col width="22" customWidth="1" min="5" max="5"/>
    <col width="22" customWidth="1" min="6" max="6"/>
  </cols>
  <sheetData>
    <row r="1" ht="30" customHeight="1">
      <c r="A1" s="1" t="inlineStr">
        <is>
          <t>连续编制合并财务报表工作底稿示例</t>
        </is>
      </c>
    </row>
    <row r="3">
      <c r="A3" s="2" t="inlineStr">
        <is>
          <t>案例设定</t>
        </is>
      </c>
    </row>
    <row r="4" ht="28" customHeight="1">
      <c r="A4" s="3" t="inlineStr">
        <is>
          <t>1. 母公司 P 持有子公司 S 80%，控制关系在本年以前已存在；本例仅展示与 S 有关的合并逻辑。</t>
        </is>
      </c>
    </row>
    <row r="5" ht="28" customHeight="1">
      <c r="A5" s="3" t="inlineStr">
        <is>
          <t>2. S 年初未分配利润 300；本年净利润 1,000；提取盈余公积 100；分配股利 200；年末未分配利润 1,000。</t>
        </is>
      </c>
    </row>
    <row r="6" ht="28" customHeight="1">
      <c r="A6" s="3" t="inlineStr">
        <is>
          <t>3. P 个别报表对 S 采用成本法：长期股权投资成本 800；本年因股利确认投资收益 160。</t>
        </is>
      </c>
    </row>
    <row r="7" ht="28" customHeight="1">
      <c r="A7" s="3" t="inlineStr">
        <is>
          <t>4. 忽略商誉、所得税、内部交易、其他综合收益；假定股利已支付，故不展示内部应收应付股利抵销。</t>
        </is>
      </c>
    </row>
    <row r="8" ht="28" customHeight="1">
      <c r="A8" s="3" t="inlineStr">
        <is>
          <t>5. 所有“调整/抵销分录”仅在合并工作底稿中使用，不记入 P 或 S 的正式账簿。</t>
        </is>
      </c>
    </row>
    <row r="11">
      <c r="A11" s="4" t="inlineStr">
        <is>
          <t>建议阅读顺序</t>
        </is>
      </c>
    </row>
    <row r="12" ht="30" customHeight="1">
      <c r="A12" s="5" t="inlineStr">
        <is>
          <t>1</t>
        </is>
      </c>
      <c r="B12" s="6" t="inlineStr">
        <is>
          <t>子公司利润分配表</t>
        </is>
      </c>
      <c r="C12" s="5" t="inlineStr">
        <is>
          <t>先确认 S 如何从年初未分配利润 300 变到年末未分配利润 1,000。</t>
        </is>
      </c>
      <c r="D12" s="22" t="n"/>
      <c r="E12" s="22" t="n"/>
      <c r="F12" s="23" t="n"/>
    </row>
    <row r="13" ht="30" customHeight="1">
      <c r="A13" s="5" t="inlineStr">
        <is>
          <t>2</t>
        </is>
      </c>
      <c r="B13" s="6" t="inlineStr">
        <is>
          <t>成本法调整为权益法</t>
        </is>
      </c>
      <c r="C13" s="5" t="inlineStr">
        <is>
          <t>将 P 的长投和投资收益模拟调整为权益法口径：长投 1,440、投资收益 800。</t>
        </is>
      </c>
      <c r="D13" s="22" t="n"/>
      <c r="E13" s="22" t="n"/>
      <c r="F13" s="23" t="n"/>
    </row>
    <row r="14" ht="30" customHeight="1">
      <c r="A14" s="5" t="inlineStr">
        <is>
          <t>3</t>
        </is>
      </c>
      <c r="B14" s="6" t="inlineStr">
        <is>
          <t>投资收益—利润分配桥梁</t>
        </is>
      </c>
      <c r="C14" s="5" t="inlineStr">
        <is>
          <t>删除重复的投资收益，并将子公司利润、少数股东损益、利润分配与年末余额衔接。</t>
        </is>
      </c>
      <c r="D14" s="22" t="n"/>
      <c r="E14" s="22" t="n"/>
      <c r="F14" s="23" t="n"/>
    </row>
    <row r="15" ht="30" customHeight="1">
      <c r="A15" s="5" t="inlineStr">
        <is>
          <t>4</t>
        </is>
      </c>
      <c r="B15" s="6" t="inlineStr">
        <is>
          <t>长投—子公司权益抵销</t>
        </is>
      </c>
      <c r="C15" s="5" t="inlineStr">
        <is>
          <t>消除 P 的长期股权投资和 S 的独立所有者权益，确认少数股东权益。</t>
        </is>
      </c>
      <c r="D15" s="22" t="n"/>
      <c r="E15" s="22" t="n"/>
      <c r="F15" s="23" t="n"/>
    </row>
    <row r="16" ht="30" customHeight="1">
      <c r="A16" s="5" t="inlineStr">
        <is>
          <t>5</t>
        </is>
      </c>
      <c r="B16" s="6" t="inlineStr">
        <is>
          <t>合并所有者权益变动表</t>
        </is>
      </c>
      <c r="C16" s="5" t="inlineStr">
        <is>
          <t>只保留集团口径的归母权益与少数股东权益，不保留 S 的独立权益标签。</t>
        </is>
      </c>
      <c r="D16" s="22" t="n"/>
      <c r="E16" s="22" t="n"/>
      <c r="F16" s="23" t="n"/>
    </row>
  </sheetData>
  <mergeCells count="12">
    <mergeCell ref="C13:F13"/>
    <mergeCell ref="A11:F11"/>
    <mergeCell ref="A1:F1"/>
    <mergeCell ref="C12:F12"/>
    <mergeCell ref="A5:F5"/>
    <mergeCell ref="A8:F8"/>
    <mergeCell ref="A6:F6"/>
    <mergeCell ref="C16:F16"/>
    <mergeCell ref="C15:F15"/>
    <mergeCell ref="A4:F4"/>
    <mergeCell ref="C14:F14"/>
    <mergeCell ref="A7:F7"/>
  </mergeCells>
  <pageMargins left="0.25" right="0.25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38" customWidth="1" min="3" max="3"/>
    <col width="22" customWidth="1" min="4" max="4"/>
    <col width="24" customWidth="1" min="5" max="5"/>
  </cols>
  <sheetData>
    <row r="1" ht="30" customHeight="1">
      <c r="A1" s="1" t="inlineStr">
        <is>
          <t>S 公司利润分配表（单体口径）</t>
        </is>
      </c>
    </row>
    <row r="3">
      <c r="A3" s="7" t="inlineStr">
        <is>
          <t>项目</t>
        </is>
      </c>
      <c r="B3" s="7" t="inlineStr">
        <is>
          <t>金额</t>
        </is>
      </c>
      <c r="C3" s="7" t="inlineStr">
        <is>
          <t>说明</t>
        </is>
      </c>
      <c r="D3" s="7" t="inlineStr">
        <is>
          <t>归属于 P（80%）</t>
        </is>
      </c>
      <c r="E3" s="7" t="inlineStr">
        <is>
          <t>归属于少数股东（20%）</t>
        </is>
      </c>
    </row>
    <row r="4">
      <c r="A4" s="8" t="inlineStr">
        <is>
          <t>年初未分配利润</t>
        </is>
      </c>
      <c r="B4" s="9" t="n">
        <v>300</v>
      </c>
      <c r="C4" s="8" t="inlineStr">
        <is>
          <t>上年末结转到本年年初的余额</t>
        </is>
      </c>
      <c r="D4" s="9" t="n">
        <v>240</v>
      </c>
      <c r="E4" s="9" t="n">
        <v>60</v>
      </c>
    </row>
    <row r="5">
      <c r="A5" s="8" t="inlineStr">
        <is>
          <t>加：本年净利润</t>
        </is>
      </c>
      <c r="B5" s="9" t="n">
        <v>1000</v>
      </c>
      <c r="C5" s="8" t="inlineStr">
        <is>
          <t>本年经营成果</t>
        </is>
      </c>
      <c r="D5" s="9" t="n">
        <v>800</v>
      </c>
      <c r="E5" s="9" t="n">
        <v>200</v>
      </c>
    </row>
    <row r="6">
      <c r="A6" s="8" t="inlineStr">
        <is>
          <t>减：提取盈余公积</t>
        </is>
      </c>
      <c r="B6" s="9" t="n">
        <v>-100</v>
      </c>
      <c r="C6" s="8" t="inlineStr">
        <is>
          <t>留存收益内部转入盈余公积</t>
        </is>
      </c>
      <c r="D6" s="9" t="n">
        <v>-80</v>
      </c>
      <c r="E6" s="9" t="n">
        <v>-20</v>
      </c>
    </row>
    <row r="7">
      <c r="A7" s="8" t="inlineStr">
        <is>
          <t>减：对所有者（股东）的分配</t>
        </is>
      </c>
      <c r="B7" s="9" t="n">
        <v>-200</v>
      </c>
      <c r="C7" s="8" t="inlineStr">
        <is>
          <t>其中 P 收到 160；少数股东收到 40</t>
        </is>
      </c>
      <c r="D7" s="9" t="n">
        <v>-160</v>
      </c>
      <c r="E7" s="9" t="n">
        <v>-40</v>
      </c>
    </row>
    <row r="8">
      <c r="A8" s="10" t="inlineStr">
        <is>
          <t>年末未分配利润</t>
        </is>
      </c>
      <c r="B8" s="11">
        <f>SUM(B4:B7)</f>
        <v/>
      </c>
      <c r="C8" s="10" t="inlineStr">
        <is>
          <t>300 + 1,000 − 100 − 200</t>
        </is>
      </c>
      <c r="D8" s="11">
        <f>SUM(D4:D7)</f>
        <v/>
      </c>
      <c r="E8" s="11">
        <f>SUM(E4:E7)</f>
        <v/>
      </c>
    </row>
    <row r="10">
      <c r="A10" s="4" t="inlineStr">
        <is>
          <t>关键关系</t>
        </is>
      </c>
    </row>
    <row r="11">
      <c r="A11" s="2" t="inlineStr">
        <is>
          <t>年初未分配利润 + 本年净利润 − 提取盈余公积 − 股利分配 = 年末未分配利润</t>
        </is>
      </c>
    </row>
    <row r="12">
      <c r="A12" s="12" t="inlineStr">
        <is>
          <t>注意：P 收到的 160 属于集团内部资金转移；少数股东收到的 40 是集团对外现金流出。</t>
        </is>
      </c>
    </row>
  </sheetData>
  <mergeCells count="4">
    <mergeCell ref="A11:E11"/>
    <mergeCell ref="A1:E1"/>
    <mergeCell ref="A12:E12"/>
    <mergeCell ref="A10:E10"/>
  </mergeCells>
  <pageMargins left="0.25" right="0.25" top="0.5" bottom="0.5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0" customWidth="1" min="3" max="3"/>
    <col width="14" customWidth="1" min="4" max="4"/>
    <col width="20" customWidth="1" min="5" max="5"/>
    <col width="14" customWidth="1" min="6" max="6"/>
    <col width="44" customWidth="1" min="7" max="7"/>
  </cols>
  <sheetData>
    <row r="1" ht="30" customHeight="1">
      <c r="A1" s="1" t="inlineStr">
        <is>
          <t>P 公司成本法调整为权益法（合并工作底稿调整）</t>
        </is>
      </c>
    </row>
    <row r="3">
      <c r="A3" s="7" t="inlineStr">
        <is>
          <t>步骤</t>
        </is>
      </c>
      <c r="B3" s="7" t="inlineStr">
        <is>
          <t>调整事项</t>
        </is>
      </c>
      <c r="C3" s="7" t="inlineStr">
        <is>
          <t>借方科目</t>
        </is>
      </c>
      <c r="D3" s="7" t="inlineStr">
        <is>
          <t>借方金额</t>
        </is>
      </c>
      <c r="E3" s="7" t="inlineStr">
        <is>
          <t>贷方科目</t>
        </is>
      </c>
      <c r="F3" s="7" t="inlineStr">
        <is>
          <t>贷方金额</t>
        </is>
      </c>
      <c r="G3" s="7" t="inlineStr">
        <is>
          <t>调整目的</t>
        </is>
      </c>
    </row>
    <row r="4">
      <c r="A4" s="8" t="inlineStr">
        <is>
          <t>P 个别账</t>
        </is>
      </c>
      <c r="B4" s="8" t="inlineStr">
        <is>
          <t>S 分配股利 200，P 享有 80%</t>
        </is>
      </c>
      <c r="C4" s="8" t="inlineStr">
        <is>
          <t>银行存款</t>
        </is>
      </c>
      <c r="D4" s="9" t="n">
        <v>160</v>
      </c>
      <c r="E4" s="8" t="inlineStr">
        <is>
          <t>投资收益</t>
        </is>
      </c>
      <c r="F4" s="9" t="n">
        <v>160</v>
      </c>
      <c r="G4" s="8" t="inlineStr">
        <is>
          <t>成本法下，P 仅因收到股利确认投资收益。</t>
        </is>
      </c>
    </row>
    <row r="5">
      <c r="A5" s="8" t="inlineStr">
        <is>
          <t>调整①</t>
        </is>
      </c>
      <c r="B5" s="8" t="inlineStr">
        <is>
          <t>按 S 本年净利润确认权益法收益</t>
        </is>
      </c>
      <c r="C5" s="8" t="inlineStr">
        <is>
          <t>长期股权投资</t>
        </is>
      </c>
      <c r="D5" s="9" t="n">
        <v>800</v>
      </c>
      <c r="E5" s="8" t="inlineStr">
        <is>
          <t>投资收益</t>
        </is>
      </c>
      <c r="F5" s="9" t="n">
        <v>800</v>
      </c>
      <c r="G5" s="8" t="inlineStr">
        <is>
          <t>使 P 确认其享有的 S 净利润份额。</t>
        </is>
      </c>
    </row>
    <row r="6">
      <c r="A6" s="8" t="inlineStr">
        <is>
          <t>调整②</t>
        </is>
      </c>
      <c r="B6" s="8" t="inlineStr">
        <is>
          <t>将成本法股利收益改为权益法收回投资</t>
        </is>
      </c>
      <c r="C6" s="8" t="inlineStr">
        <is>
          <t>投资收益</t>
        </is>
      </c>
      <c r="D6" s="9" t="n">
        <v>160</v>
      </c>
      <c r="E6" s="8" t="inlineStr">
        <is>
          <t>长期股权投资</t>
        </is>
      </c>
      <c r="F6" s="9" t="n">
        <v>160</v>
      </c>
      <c r="G6" s="8" t="inlineStr">
        <is>
          <t>权益法下，股利减少长期股权投资，不是新增收益。</t>
        </is>
      </c>
    </row>
    <row r="8">
      <c r="A8" s="4" t="inlineStr">
        <is>
          <t>调整后关键余额</t>
        </is>
      </c>
    </row>
    <row r="9">
      <c r="A9" s="7" t="inlineStr">
        <is>
          <t>项目</t>
        </is>
      </c>
      <c r="B9" s="7" t="inlineStr">
        <is>
          <t>成本法原余额</t>
        </is>
      </c>
      <c r="C9" s="7" t="inlineStr">
        <is>
          <t>权益法调整</t>
        </is>
      </c>
      <c r="D9" s="7" t="inlineStr">
        <is>
          <t>调整后余额</t>
        </is>
      </c>
      <c r="E9" s="7" t="inlineStr">
        <is>
          <t>计算式</t>
        </is>
      </c>
    </row>
    <row r="10">
      <c r="A10" s="13" t="inlineStr">
        <is>
          <t>长期股权投资</t>
        </is>
      </c>
      <c r="B10" s="14" t="n">
        <v>800</v>
      </c>
      <c r="C10" s="14">
        <f>D5-D6</f>
        <v/>
      </c>
      <c r="D10" s="14">
        <f>B10+C10</f>
        <v/>
      </c>
      <c r="E10" s="13" t="inlineStr">
        <is>
          <t>800 + 800 − 160</t>
        </is>
      </c>
    </row>
    <row r="11">
      <c r="A11" s="15" t="inlineStr">
        <is>
          <t>投资收益</t>
        </is>
      </c>
      <c r="B11" s="16" t="n">
        <v>160</v>
      </c>
      <c r="C11" s="16">
        <f>F5-F6</f>
        <v/>
      </c>
      <c r="D11" s="16">
        <f>B11+C11</f>
        <v/>
      </c>
      <c r="E11" s="15" t="inlineStr">
        <is>
          <t>160 + 800 − 160</t>
        </is>
      </c>
    </row>
    <row r="13" ht="34" customHeight="1">
      <c r="A13" s="17" t="inlineStr">
        <is>
          <t>结论：调整后，P 的投资收益为 800，正好等于 P 享有的 S 本年净利润份额；下一步必须抵销该 800，避免与 S 已并入的经营利润重复。</t>
        </is>
      </c>
    </row>
  </sheetData>
  <mergeCells count="3">
    <mergeCell ref="A8:G8"/>
    <mergeCell ref="A13:G13"/>
    <mergeCell ref="A1:G1"/>
  </mergeCells>
  <pageMargins left="0.25" right="0.25" top="0.5" bottom="0.5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6" customWidth="1" min="3" max="3"/>
    <col width="10" customWidth="1" min="4" max="4"/>
    <col width="10" customWidth="1" min="5" max="5"/>
    <col width="14" customWidth="1" min="6" max="6"/>
    <col width="48" customWidth="1" min="7" max="7"/>
    <col width="16" customWidth="1" min="8" max="8"/>
  </cols>
  <sheetData>
    <row r="1" ht="30" customHeight="1">
      <c r="A1" s="1" t="inlineStr">
        <is>
          <t>合并工作底稿：调整与抵销分录</t>
        </is>
      </c>
    </row>
    <row r="3">
      <c r="A3" s="7" t="inlineStr">
        <is>
          <t>编号</t>
        </is>
      </c>
      <c r="B3" s="7" t="inlineStr">
        <is>
          <t>类型</t>
        </is>
      </c>
      <c r="C3" s="7" t="inlineStr">
        <is>
          <t>科目</t>
        </is>
      </c>
      <c r="D3" s="7" t="inlineStr">
        <is>
          <t>借方</t>
        </is>
      </c>
      <c r="E3" s="7" t="inlineStr">
        <is>
          <t>贷方</t>
        </is>
      </c>
      <c r="F3" s="7" t="inlineStr">
        <is>
          <t>金额</t>
        </is>
      </c>
      <c r="G3" s="7" t="inlineStr">
        <is>
          <t>工作底稿含义</t>
        </is>
      </c>
      <c r="H3" s="7" t="inlineStr">
        <is>
          <t>是否影响正式账簿</t>
        </is>
      </c>
    </row>
    <row r="4">
      <c r="A4" s="18" t="inlineStr">
        <is>
          <t>A1</t>
        </is>
      </c>
      <c r="B4" s="18" t="inlineStr">
        <is>
          <t>权益法调整</t>
        </is>
      </c>
      <c r="C4" s="18" t="inlineStr">
        <is>
          <t>长期股权投资</t>
        </is>
      </c>
      <c r="D4" s="18" t="inlineStr">
        <is>
          <t>借</t>
        </is>
      </c>
      <c r="E4" s="18" t="inlineStr"/>
      <c r="F4" s="19" t="n">
        <v>800</v>
      </c>
      <c r="G4" s="18" t="inlineStr">
        <is>
          <t>按 S 本年净利润确认 P 应享份额。</t>
        </is>
      </c>
      <c r="H4" s="18" t="inlineStr">
        <is>
          <t>否</t>
        </is>
      </c>
    </row>
    <row r="5">
      <c r="A5" s="18" t="inlineStr">
        <is>
          <t>A1</t>
        </is>
      </c>
      <c r="B5" s="18" t="inlineStr">
        <is>
          <t>权益法调整</t>
        </is>
      </c>
      <c r="C5" s="18" t="inlineStr">
        <is>
          <t>投资收益</t>
        </is>
      </c>
      <c r="D5" s="18" t="inlineStr"/>
      <c r="E5" s="18" t="inlineStr">
        <is>
          <t>贷</t>
        </is>
      </c>
      <c r="F5" s="19" t="n">
        <v>800</v>
      </c>
      <c r="G5" s="18" t="inlineStr">
        <is>
          <t>使投资收益反映 P 对 S 本年利润份额。</t>
        </is>
      </c>
      <c r="H5" s="18" t="inlineStr">
        <is>
          <t>否</t>
        </is>
      </c>
    </row>
    <row r="6">
      <c r="A6" s="18" t="inlineStr">
        <is>
          <t>A2</t>
        </is>
      </c>
      <c r="B6" s="18" t="inlineStr">
        <is>
          <t>权益法调整</t>
        </is>
      </c>
      <c r="C6" s="18" t="inlineStr">
        <is>
          <t>投资收益</t>
        </is>
      </c>
      <c r="D6" s="18" t="inlineStr">
        <is>
          <t>借</t>
        </is>
      </c>
      <c r="E6" s="18" t="inlineStr"/>
      <c r="F6" s="19" t="n">
        <v>160</v>
      </c>
      <c r="G6" s="18" t="inlineStr">
        <is>
          <t>冲回成本法下因股利确认的投资收益。</t>
        </is>
      </c>
      <c r="H6" s="18" t="inlineStr">
        <is>
          <t>否</t>
        </is>
      </c>
    </row>
    <row r="7">
      <c r="A7" s="18" t="inlineStr">
        <is>
          <t>A2</t>
        </is>
      </c>
      <c r="B7" s="18" t="inlineStr">
        <is>
          <t>权益法调整</t>
        </is>
      </c>
      <c r="C7" s="18" t="inlineStr">
        <is>
          <t>长期股权投资</t>
        </is>
      </c>
      <c r="D7" s="18" t="inlineStr"/>
      <c r="E7" s="18" t="inlineStr">
        <is>
          <t>贷</t>
        </is>
      </c>
      <c r="F7" s="19" t="n">
        <v>160</v>
      </c>
      <c r="G7" s="18" t="inlineStr">
        <is>
          <t>将股利改列为收回投资。</t>
        </is>
      </c>
      <c r="H7" s="18" t="inlineStr">
        <is>
          <t>否</t>
        </is>
      </c>
    </row>
    <row r="8">
      <c r="A8" s="15" t="inlineStr">
        <is>
          <t>B</t>
        </is>
      </c>
      <c r="B8" s="15" t="inlineStr">
        <is>
          <t>利润与分配桥梁</t>
        </is>
      </c>
      <c r="C8" s="15" t="inlineStr">
        <is>
          <t>投资收益</t>
        </is>
      </c>
      <c r="D8" s="15" t="inlineStr">
        <is>
          <t>借</t>
        </is>
      </c>
      <c r="E8" s="15" t="inlineStr"/>
      <c r="F8" s="16" t="n">
        <v>800</v>
      </c>
      <c r="G8" s="15" t="inlineStr">
        <is>
          <t>删除 P 对 S 利润的重复确认。</t>
        </is>
      </c>
      <c r="H8" s="15" t="inlineStr">
        <is>
          <t>否</t>
        </is>
      </c>
    </row>
    <row r="9">
      <c r="A9" s="15" t="inlineStr">
        <is>
          <t>B</t>
        </is>
      </c>
      <c r="B9" s="15" t="inlineStr">
        <is>
          <t>利润与分配桥梁</t>
        </is>
      </c>
      <c r="C9" s="15" t="inlineStr">
        <is>
          <t>少数股东损益</t>
        </is>
      </c>
      <c r="D9" s="15" t="inlineStr">
        <is>
          <t>借</t>
        </is>
      </c>
      <c r="E9" s="15" t="inlineStr"/>
      <c r="F9" s="16" t="n">
        <v>200</v>
      </c>
      <c r="G9" s="15" t="inlineStr">
        <is>
          <t>确认 S 利润中归属于少数股东的份额。</t>
        </is>
      </c>
      <c r="H9" s="15" t="inlineStr">
        <is>
          <t>否</t>
        </is>
      </c>
    </row>
    <row r="10">
      <c r="A10" s="15" t="inlineStr">
        <is>
          <t>B</t>
        </is>
      </c>
      <c r="B10" s="15" t="inlineStr">
        <is>
          <t>利润与分配桥梁</t>
        </is>
      </c>
      <c r="C10" s="15" t="inlineStr">
        <is>
          <t>年初未分配利润</t>
        </is>
      </c>
      <c r="D10" s="15" t="inlineStr">
        <is>
          <t>借</t>
        </is>
      </c>
      <c r="E10" s="15" t="inlineStr"/>
      <c r="F10" s="16" t="n">
        <v>300</v>
      </c>
      <c r="G10" s="15" t="inlineStr">
        <is>
          <t>衔接 S 上年末与本年年初的利润余额。</t>
        </is>
      </c>
      <c r="H10" s="15" t="inlineStr">
        <is>
          <t>否</t>
        </is>
      </c>
    </row>
    <row r="11">
      <c r="A11" s="15" t="inlineStr">
        <is>
          <t>B</t>
        </is>
      </c>
      <c r="B11" s="15" t="inlineStr">
        <is>
          <t>利润与分配桥梁</t>
        </is>
      </c>
      <c r="C11" s="15" t="inlineStr">
        <is>
          <t>提取盈余公积</t>
        </is>
      </c>
      <c r="D11" s="15" t="inlineStr"/>
      <c r="E11" s="15" t="inlineStr">
        <is>
          <t>贷</t>
        </is>
      </c>
      <c r="F11" s="16" t="n">
        <v>100</v>
      </c>
      <c r="G11" s="15" t="inlineStr">
        <is>
          <t>衔接 S 的本年利润分配路径。</t>
        </is>
      </c>
      <c r="H11" s="15" t="inlineStr">
        <is>
          <t>否</t>
        </is>
      </c>
    </row>
    <row r="12">
      <c r="A12" s="15" t="inlineStr">
        <is>
          <t>B</t>
        </is>
      </c>
      <c r="B12" s="15" t="inlineStr">
        <is>
          <t>利润与分配桥梁</t>
        </is>
      </c>
      <c r="C12" s="15" t="inlineStr">
        <is>
          <t>对所有者（股东）的分配</t>
        </is>
      </c>
      <c r="D12" s="15" t="inlineStr"/>
      <c r="E12" s="15" t="inlineStr">
        <is>
          <t>贷</t>
        </is>
      </c>
      <c r="F12" s="16" t="n">
        <v>200</v>
      </c>
      <c r="G12" s="15" t="inlineStr">
        <is>
          <t>其中 P 份额内部抵销，少数股东份额为对外分配。</t>
        </is>
      </c>
      <c r="H12" s="15" t="inlineStr">
        <is>
          <t>否</t>
        </is>
      </c>
    </row>
    <row r="13">
      <c r="A13" s="15" t="inlineStr">
        <is>
          <t>B</t>
        </is>
      </c>
      <c r="B13" s="15" t="inlineStr">
        <is>
          <t>利润与分配桥梁</t>
        </is>
      </c>
      <c r="C13" s="15" t="inlineStr">
        <is>
          <t>年末未分配利润</t>
        </is>
      </c>
      <c r="D13" s="15" t="inlineStr"/>
      <c r="E13" s="15" t="inlineStr">
        <is>
          <t>贷</t>
        </is>
      </c>
      <c r="F13" s="16" t="n">
        <v>1000</v>
      </c>
      <c r="G13" s="15" t="inlineStr">
        <is>
          <t>形成 S 利润分配后的期末余额；随后在 C 中消除其子公司单体标签。</t>
        </is>
      </c>
      <c r="H13" s="15" t="inlineStr">
        <is>
          <t>否</t>
        </is>
      </c>
    </row>
    <row r="14">
      <c r="A14" s="20" t="inlineStr">
        <is>
          <t>C</t>
        </is>
      </c>
      <c r="B14" s="20" t="inlineStr">
        <is>
          <t>长投—权益抵销</t>
        </is>
      </c>
      <c r="C14" s="20" t="inlineStr">
        <is>
          <t>股本</t>
        </is>
      </c>
      <c r="D14" s="20" t="inlineStr">
        <is>
          <t>借</t>
        </is>
      </c>
      <c r="E14" s="20" t="inlineStr"/>
      <c r="F14" s="21" t="n">
        <v>700</v>
      </c>
      <c r="G14" s="20" t="inlineStr">
        <is>
          <t>消除 S 的独立所有者权益。</t>
        </is>
      </c>
      <c r="H14" s="20" t="inlineStr">
        <is>
          <t>否</t>
        </is>
      </c>
    </row>
    <row r="15">
      <c r="A15" s="20" t="inlineStr">
        <is>
          <t>C</t>
        </is>
      </c>
      <c r="B15" s="20" t="inlineStr">
        <is>
          <t>长投—权益抵销</t>
        </is>
      </c>
      <c r="C15" s="20" t="inlineStr">
        <is>
          <t>盈余公积</t>
        </is>
      </c>
      <c r="D15" s="20" t="inlineStr">
        <is>
          <t>借</t>
        </is>
      </c>
      <c r="E15" s="20" t="inlineStr"/>
      <c r="F15" s="21" t="n">
        <v>100</v>
      </c>
      <c r="G15" s="20" t="inlineStr">
        <is>
          <t>消除 S 的独立所有者权益。</t>
        </is>
      </c>
      <c r="H15" s="20" t="inlineStr">
        <is>
          <t>否</t>
        </is>
      </c>
    </row>
    <row r="16">
      <c r="A16" s="20" t="inlineStr">
        <is>
          <t>C</t>
        </is>
      </c>
      <c r="B16" s="20" t="inlineStr">
        <is>
          <t>长投—权益抵销</t>
        </is>
      </c>
      <c r="C16" s="20" t="inlineStr">
        <is>
          <t>年末未分配利润</t>
        </is>
      </c>
      <c r="D16" s="20" t="inlineStr">
        <is>
          <t>借</t>
        </is>
      </c>
      <c r="E16" s="20" t="inlineStr"/>
      <c r="F16" s="21" t="n">
        <v>1000</v>
      </c>
      <c r="G16" s="20" t="inlineStr">
        <is>
          <t>消除 S 的独立所有者权益；不是消除集团实际利润。</t>
        </is>
      </c>
      <c r="H16" s="20" t="inlineStr">
        <is>
          <t>否</t>
        </is>
      </c>
    </row>
    <row r="17">
      <c r="A17" s="20" t="inlineStr">
        <is>
          <t>C</t>
        </is>
      </c>
      <c r="B17" s="20" t="inlineStr">
        <is>
          <t>长投—权益抵销</t>
        </is>
      </c>
      <c r="C17" s="20" t="inlineStr">
        <is>
          <t>长期股权投资</t>
        </is>
      </c>
      <c r="D17" s="20" t="inlineStr"/>
      <c r="E17" s="20" t="inlineStr">
        <is>
          <t>贷</t>
        </is>
      </c>
      <c r="F17" s="21" t="n">
        <v>1440</v>
      </c>
      <c r="G17" s="20" t="inlineStr">
        <is>
          <t>消除 P 对 S 的内部投资。</t>
        </is>
      </c>
      <c r="H17" s="20" t="inlineStr">
        <is>
          <t>否</t>
        </is>
      </c>
    </row>
    <row r="18">
      <c r="A18" s="20" t="inlineStr">
        <is>
          <t>C</t>
        </is>
      </c>
      <c r="B18" s="20" t="inlineStr">
        <is>
          <t>长投—权益抵销</t>
        </is>
      </c>
      <c r="C18" s="20" t="inlineStr">
        <is>
          <t>少数股东权益</t>
        </is>
      </c>
      <c r="D18" s="20" t="inlineStr"/>
      <c r="E18" s="20" t="inlineStr">
        <is>
          <t>贷</t>
        </is>
      </c>
      <c r="F18" s="21" t="n">
        <v>360</v>
      </c>
      <c r="G18" s="20" t="inlineStr">
        <is>
          <t>确认 S 净资产中属于外部少数股东的部分。</t>
        </is>
      </c>
      <c r="H18" s="20" t="inlineStr">
        <is>
          <t>否</t>
        </is>
      </c>
    </row>
    <row r="20">
      <c r="A20" s="4" t="inlineStr">
        <is>
          <t>分录平衡检查</t>
        </is>
      </c>
    </row>
    <row r="21">
      <c r="A21" s="7" t="inlineStr">
        <is>
          <t>编号</t>
        </is>
      </c>
      <c r="B21" s="7" t="inlineStr">
        <is>
          <t>借方合计</t>
        </is>
      </c>
      <c r="C21" s="7" t="inlineStr">
        <is>
          <t>贷方合计</t>
        </is>
      </c>
      <c r="D21" s="7" t="inlineStr">
        <is>
          <t>是否平衡</t>
        </is>
      </c>
      <c r="E21" s="7" t="inlineStr">
        <is>
          <t>说明</t>
        </is>
      </c>
    </row>
    <row r="22">
      <c r="A22" s="8" t="inlineStr">
        <is>
          <t>A（权益法调整）</t>
        </is>
      </c>
      <c r="B22" s="9">
        <f>SUMIFS($F$4:$F$7,$D$4:$D$7,"借")</f>
        <v/>
      </c>
      <c r="C22" s="9">
        <f>SUMIFS($F$4:$F$7,$E$4:$E$7,"贷")</f>
        <v/>
      </c>
      <c r="D22" s="13">
        <f>IF(B22=C22,"平衡","不平衡")</f>
        <v/>
      </c>
      <c r="E22" s="8" t="inlineStr">
        <is>
          <t>A1+A2 合并后借贷均为 960</t>
        </is>
      </c>
    </row>
    <row r="23">
      <c r="A23" s="8" t="inlineStr">
        <is>
          <t>B（利润与分配桥梁）</t>
        </is>
      </c>
      <c r="B23" s="9">
        <f>SUMIFS($F$8:$F$13,$D$8:$D$13,"借")</f>
        <v/>
      </c>
      <c r="C23" s="9">
        <f>SUMIFS($F$8:$F$13,$E$8:$E$13,"贷")</f>
        <v/>
      </c>
      <c r="D23" s="13">
        <f>IF(B23=C23,"平衡","不平衡")</f>
        <v/>
      </c>
      <c r="E23" s="8" t="inlineStr">
        <is>
          <t>800+200+300 = 100+200+1,000</t>
        </is>
      </c>
    </row>
    <row r="24">
      <c r="A24" s="8" t="inlineStr">
        <is>
          <t>C（长投—权益抵销）</t>
        </is>
      </c>
      <c r="B24" s="9">
        <f>SUMIFS($F$14:$F$18,$D$14:$D$18,"借")</f>
        <v/>
      </c>
      <c r="C24" s="9">
        <f>SUMIFS($F$14:$F$18,$E$14:$E$18,"贷")</f>
        <v/>
      </c>
      <c r="D24" s="13">
        <f>IF(B24=C24,"平衡","不平衡")</f>
        <v/>
      </c>
      <c r="E24" s="8" t="inlineStr">
        <is>
          <t>700+100+1,000 = 1,440+360</t>
        </is>
      </c>
    </row>
  </sheetData>
  <mergeCells count="2">
    <mergeCell ref="A20:H20"/>
    <mergeCell ref="A1:H1"/>
  </mergeCells>
  <pageMargins left="0.25" right="0.25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60" customWidth="1" min="8" max="8"/>
  </cols>
  <sheetData>
    <row r="1" ht="30" customHeight="1">
      <c r="A1" s="1" t="inlineStr">
        <is>
          <t>合并所有者权益变动表（完整示例）</t>
        </is>
      </c>
    </row>
    <row r="2" ht="30" customHeight="1">
      <c r="A2" s="24" t="inlineStr">
        <is>
          <t>口径：P 持有 S 80%。金额仅为教学假设，完整展示母公司自身权益、子公司经营成果、利润分配及少数股东权益的合并呈现。</t>
        </is>
      </c>
    </row>
    <row r="3">
      <c r="A3" s="7" t="n"/>
      <c r="B3" s="7" t="n"/>
      <c r="C3" s="7" t="n"/>
      <c r="D3" s="7" t="n"/>
      <c r="E3" s="7" t="n"/>
      <c r="F3" s="7" t="n"/>
      <c r="G3" s="7" t="n"/>
      <c r="H3" s="7" t="n"/>
    </row>
    <row r="4">
      <c r="A4" s="7" t="inlineStr">
        <is>
          <t>项目</t>
        </is>
      </c>
      <c r="B4" s="7" t="inlineStr">
        <is>
          <t>实收资本/股本
（归母）</t>
        </is>
      </c>
      <c r="C4" s="7" t="inlineStr">
        <is>
          <t>资本公积
（归母）</t>
        </is>
      </c>
      <c r="D4" s="7" t="inlineStr">
        <is>
          <t>其他综合收益
（归母）</t>
        </is>
      </c>
      <c r="E4" s="7" t="inlineStr">
        <is>
          <t>盈余公积
（归母）</t>
        </is>
      </c>
      <c r="F4" s="7" t="inlineStr">
        <is>
          <t>未分配利润
（归母）</t>
        </is>
      </c>
      <c r="G4" s="7" t="inlineStr">
        <is>
          <t>少数股东权益</t>
        </is>
      </c>
      <c r="H4" s="7" t="inlineStr">
        <is>
          <t>所有者权益合计</t>
        </is>
      </c>
    </row>
    <row r="5">
      <c r="A5" s="8" t="inlineStr">
        <is>
          <t>一、上年年末余额</t>
        </is>
      </c>
      <c r="B5" s="9" t="n">
        <v>2000</v>
      </c>
      <c r="C5" s="9" t="n">
        <v>300</v>
      </c>
      <c r="D5" s="9" t="n">
        <v>0</v>
      </c>
      <c r="E5" s="9" t="n">
        <v>200</v>
      </c>
      <c r="F5" s="9" t="n">
        <v>500</v>
      </c>
      <c r="G5" s="9" t="n">
        <v>200</v>
      </c>
      <c r="H5" s="9">
        <f>SUM(B5:G5)</f>
        <v/>
      </c>
    </row>
    <row r="6">
      <c r="A6" s="8" t="inlineStr">
        <is>
          <t>加：会计政策变更、前期差错更正</t>
        </is>
      </c>
      <c r="B6" s="9" t="n">
        <v>0</v>
      </c>
      <c r="C6" s="9" t="n">
        <v>0</v>
      </c>
      <c r="D6" s="9" t="n">
        <v>0</v>
      </c>
      <c r="E6" s="9" t="n">
        <v>0</v>
      </c>
      <c r="F6" s="9" t="n">
        <v>0</v>
      </c>
      <c r="G6" s="9" t="n">
        <v>0</v>
      </c>
      <c r="H6" s="9">
        <f>SUM(B6:G6)</f>
        <v/>
      </c>
    </row>
    <row r="7">
      <c r="A7" s="25" t="inlineStr">
        <is>
          <t>二、本年年初余额</t>
        </is>
      </c>
      <c r="B7" s="26">
        <f>SUM(B5:B6)</f>
        <v/>
      </c>
      <c r="C7" s="26">
        <f>SUM(C5:C6)</f>
        <v/>
      </c>
      <c r="D7" s="26">
        <f>SUM(D5:D6)</f>
        <v/>
      </c>
      <c r="E7" s="26">
        <f>SUM(E5:E6)</f>
        <v/>
      </c>
      <c r="F7" s="26">
        <f>SUM(F5:F6)</f>
        <v/>
      </c>
      <c r="G7" s="26">
        <f>SUM(G5:G6)</f>
        <v/>
      </c>
      <c r="H7" s="26">
        <f>SUM(H5:H6)</f>
        <v/>
      </c>
    </row>
    <row r="8">
      <c r="A8" s="15" t="inlineStr">
        <is>
          <t>三、本年增减变动金额（减少以“-”号填列）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</row>
    <row r="9">
      <c r="A9" s="8" t="inlineStr">
        <is>
          <t>（一）综合收益总额</t>
        </is>
      </c>
      <c r="B9" s="9" t="n">
        <v>0</v>
      </c>
      <c r="C9" s="9" t="n">
        <v>0</v>
      </c>
      <c r="D9" s="9" t="n">
        <v>0</v>
      </c>
      <c r="E9" s="9" t="n">
        <v>0</v>
      </c>
      <c r="F9" s="9" t="n">
        <v>1200</v>
      </c>
      <c r="G9" s="9" t="n">
        <v>200</v>
      </c>
      <c r="H9" s="9">
        <f>SUM(B9:G9)</f>
        <v/>
      </c>
    </row>
    <row r="10">
      <c r="A10" s="8" t="inlineStr">
        <is>
          <t>1. 本年净利润</t>
        </is>
      </c>
      <c r="B10" s="9" t="n">
        <v>0</v>
      </c>
      <c r="C10" s="9" t="n">
        <v>0</v>
      </c>
      <c r="D10" s="9" t="n">
        <v>0</v>
      </c>
      <c r="E10" s="9" t="n">
        <v>0</v>
      </c>
      <c r="F10" s="9" t="n">
        <v>1200</v>
      </c>
      <c r="G10" s="9" t="n">
        <v>200</v>
      </c>
      <c r="H10" s="9">
        <f>SUM(B10:G10)</f>
        <v/>
      </c>
    </row>
    <row r="11">
      <c r="A11" s="8" t="inlineStr">
        <is>
          <t>2. 其他综合收益</t>
        </is>
      </c>
      <c r="B11" s="9" t="n">
        <v>0</v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>
        <f>SUM(B11:G11)</f>
        <v/>
      </c>
    </row>
    <row r="12">
      <c r="A12" s="8" t="inlineStr">
        <is>
          <t>（二）所有者投入和减少资本</t>
        </is>
      </c>
      <c r="B12" s="9" t="n">
        <v>0</v>
      </c>
      <c r="C12" s="9" t="n">
        <v>0</v>
      </c>
      <c r="D12" s="9" t="n">
        <v>0</v>
      </c>
      <c r="E12" s="9" t="n">
        <v>0</v>
      </c>
      <c r="F12" s="9" t="n">
        <v>0</v>
      </c>
      <c r="G12" s="9" t="n">
        <v>0</v>
      </c>
      <c r="H12" s="9">
        <f>SUM(B12:G12)</f>
        <v/>
      </c>
    </row>
    <row r="13" ht="34" customHeight="1">
      <c r="A13" s="8" t="inlineStr">
        <is>
          <t>（三）利润分配</t>
        </is>
      </c>
      <c r="B13" s="9" t="n">
        <v>0</v>
      </c>
      <c r="C13" s="9" t="n">
        <v>0</v>
      </c>
      <c r="D13" s="9" t="n">
        <v>0</v>
      </c>
      <c r="E13" s="9" t="n">
        <v>130</v>
      </c>
      <c r="F13" s="9" t="n">
        <v>-230</v>
      </c>
      <c r="G13" s="9" t="n">
        <v>-40</v>
      </c>
      <c r="H13" s="9">
        <f>SUM(B13:G13)</f>
        <v/>
      </c>
    </row>
    <row r="14" ht="34" customHeight="1">
      <c r="A14" s="8" t="inlineStr">
        <is>
          <t>1. 提取盈余公积</t>
        </is>
      </c>
      <c r="B14" s="9" t="n">
        <v>0</v>
      </c>
      <c r="C14" s="9" t="n">
        <v>0</v>
      </c>
      <c r="D14" s="9" t="n">
        <v>0</v>
      </c>
      <c r="E14" s="9" t="n">
        <v>130</v>
      </c>
      <c r="F14" s="9" t="n">
        <v>-130</v>
      </c>
      <c r="G14" s="9" t="n">
        <v>0</v>
      </c>
      <c r="H14" s="9">
        <f>SUM(B14:G14)</f>
        <v/>
      </c>
    </row>
    <row r="15" ht="34" customHeight="1">
      <c r="A15" s="8" t="inlineStr">
        <is>
          <t>2. 对所有者（股东）的分配</t>
        </is>
      </c>
      <c r="B15" s="9" t="n">
        <v>0</v>
      </c>
      <c r="C15" s="9" t="n">
        <v>0</v>
      </c>
      <c r="D15" s="9" t="n">
        <v>0</v>
      </c>
      <c r="E15" s="9" t="n">
        <v>0</v>
      </c>
      <c r="F15" s="9" t="n">
        <v>-100</v>
      </c>
      <c r="G15" s="9" t="n">
        <v>-40</v>
      </c>
      <c r="H15" s="9">
        <f>SUM(B15:G15)</f>
        <v/>
      </c>
    </row>
    <row r="16" ht="34" customHeight="1">
      <c r="A16" s="8" t="inlineStr">
        <is>
          <t>其中：S 向 P 分配股利 160（集团内部，抵销）</t>
        </is>
      </c>
      <c r="B16" s="9" t="n">
        <v>0</v>
      </c>
      <c r="C16" s="9" t="n">
        <v>0</v>
      </c>
      <c r="D16" s="9" t="n">
        <v>0</v>
      </c>
      <c r="E16" s="9" t="n">
        <v>0</v>
      </c>
      <c r="F16" s="9" t="n">
        <v>0</v>
      </c>
      <c r="G16" s="9" t="n">
        <v>0</v>
      </c>
      <c r="H16" s="9">
        <f>SUM(B16:G16)</f>
        <v/>
      </c>
    </row>
    <row r="17">
      <c r="A17" s="8" t="inlineStr">
        <is>
          <t>（四）所有者权益内部结转</t>
        </is>
      </c>
      <c r="B17" s="9" t="n">
        <v>0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>
        <f>SUM(B17:G17)</f>
        <v/>
      </c>
    </row>
    <row r="18">
      <c r="A18" s="27" t="inlineStr">
        <is>
          <t>四、本年年末余额</t>
        </is>
      </c>
      <c r="B18" s="28">
        <f>SUM(B7:B17)</f>
        <v/>
      </c>
      <c r="C18" s="28">
        <f>SUM(C7:C17)</f>
        <v/>
      </c>
      <c r="D18" s="28">
        <f>SUM(D7:D17)</f>
        <v/>
      </c>
      <c r="E18" s="28">
        <f>SUM(E7:E17)</f>
        <v/>
      </c>
      <c r="F18" s="28">
        <f>SUM(F7:F17)</f>
        <v/>
      </c>
      <c r="G18" s="28">
        <f>SUM(G7:G17)</f>
        <v/>
      </c>
      <c r="H18" s="28">
        <f>SUM(H7:H17)</f>
        <v/>
      </c>
    </row>
    <row r="19">
      <c r="A19" s="29" t="inlineStr">
        <is>
          <t>本年净利润、利润分配与桥梁分录的勾稽</t>
        </is>
      </c>
    </row>
    <row r="20">
      <c r="A20" s="7" t="inlineStr">
        <is>
          <t>项目</t>
        </is>
      </c>
      <c r="B20" s="7" t="inlineStr">
        <is>
          <t>母公司 P 单体</t>
        </is>
      </c>
      <c r="C20" s="7" t="inlineStr">
        <is>
          <t>子公司 S 单体</t>
        </is>
      </c>
      <c r="D20" s="7" t="inlineStr">
        <is>
          <t>合并调整/抵销</t>
        </is>
      </c>
      <c r="E20" s="7" t="inlineStr">
        <is>
          <t>归属于母公司</t>
        </is>
      </c>
      <c r="F20" s="7" t="inlineStr">
        <is>
          <t>归属于少数股东</t>
        </is>
      </c>
      <c r="G20" s="7" t="inlineStr">
        <is>
          <t>合并口径</t>
        </is>
      </c>
      <c r="H20" s="7" t="inlineStr">
        <is>
          <t>说明</t>
        </is>
      </c>
    </row>
    <row r="21">
      <c r="A21" s="8" t="inlineStr">
        <is>
          <t>本年净利润</t>
        </is>
      </c>
      <c r="B21" s="9" t="n">
        <v>560</v>
      </c>
      <c r="C21" s="9" t="n">
        <v>1000</v>
      </c>
      <c r="D21" s="8" t="n">
        <v>-160</v>
      </c>
      <c r="E21" s="9" t="n">
        <v>1200</v>
      </c>
      <c r="F21" s="9" t="n">
        <v>200</v>
      </c>
      <c r="G21" s="9" t="n">
        <v>1400</v>
      </c>
      <c r="H21" s="8" t="inlineStr">
        <is>
          <t>P 单体560=自身经营400+成本法股利收益160；合并后删除内部股利收益160，保留 P自身400+S归母利润800。</t>
        </is>
      </c>
    </row>
    <row r="22">
      <c r="A22" s="8" t="inlineStr">
        <is>
          <t>其中：P 对 S 的投资收益</t>
        </is>
      </c>
      <c r="B22" s="9" t="n">
        <v>160</v>
      </c>
      <c r="C22" s="9" t="n">
        <v>0</v>
      </c>
      <c r="D22" s="8" t="inlineStr">
        <is>
          <t>权益法调整+640；桥梁抵销-800</t>
        </is>
      </c>
      <c r="E22" s="9" t="n">
        <v>0</v>
      </c>
      <c r="F22" s="9" t="n">
        <v>0</v>
      </c>
      <c r="G22" s="9" t="n">
        <v>0</v>
      </c>
      <c r="H22" s="8" t="inlineStr">
        <is>
          <t>160+800-160-800=0。集团不保留对 S 的投资收益，避免与 S 的经营利润重复。</t>
        </is>
      </c>
    </row>
    <row r="23">
      <c r="A23" s="8" t="inlineStr">
        <is>
          <t>提取盈余公积</t>
        </is>
      </c>
      <c r="B23" s="9" t="n">
        <v>50</v>
      </c>
      <c r="C23" s="9" t="n">
        <v>100</v>
      </c>
      <c r="D23" s="8" t="inlineStr">
        <is>
          <t>S归母份额80转入归母盈余公积</t>
        </is>
      </c>
      <c r="E23" s="9" t="n">
        <v>130</v>
      </c>
      <c r="F23" s="9" t="inlineStr">
        <is>
          <t>已包含于少数股东权益</t>
        </is>
      </c>
      <c r="G23" s="9" t="n">
        <v>130</v>
      </c>
      <c r="H23" s="8" t="inlineStr">
        <is>
          <t>P自身提取50 + S归母份额80 = 归母盈余公积增加130。</t>
        </is>
      </c>
    </row>
    <row r="24">
      <c r="A24" s="8" t="inlineStr">
        <is>
          <t>股利分配</t>
        </is>
      </c>
      <c r="B24" s="9" t="n">
        <v>-100</v>
      </c>
      <c r="C24" s="9" t="n">
        <v>-200</v>
      </c>
      <c r="D24" s="8" t="inlineStr">
        <is>
          <t>S→P 160内部抵销；S→NCI 40对外保留</t>
        </is>
      </c>
      <c r="E24" s="9" t="n">
        <v>-100</v>
      </c>
      <c r="F24" s="9" t="n">
        <v>-40</v>
      </c>
      <c r="G24" s="9" t="n">
        <v>-140</v>
      </c>
      <c r="H24" s="8" t="inlineStr">
        <is>
          <t>P自身对外分配100与 S 向少数股东分配40，均减少集团权益。</t>
        </is>
      </c>
    </row>
    <row r="25">
      <c r="A25" s="8" t="inlineStr">
        <is>
          <t>少数股东权益变动</t>
        </is>
      </c>
      <c r="B25" s="9" t="n">
        <v>0</v>
      </c>
      <c r="C25" s="9" t="n">
        <v>0</v>
      </c>
      <c r="D25" s="8" t="inlineStr">
        <is>
          <t>期初200 + 应享利润200 − 对外股利40</t>
        </is>
      </c>
      <c r="E25" s="9" t="n">
        <v>0</v>
      </c>
      <c r="F25" s="9" t="n">
        <v>160</v>
      </c>
      <c r="G25" s="9" t="n">
        <v>160</v>
      </c>
      <c r="H25" s="8" t="inlineStr">
        <is>
          <t>少数股东权益期末=360。</t>
        </is>
      </c>
    </row>
    <row r="27" ht="34" customHeight="1">
      <c r="A27" s="30" t="inlineStr">
        <is>
          <t>桥梁分录的真正效果：并非删除 S 的所有变动，而是消除 P 的重复投资收益，并将 S 的利润、提取和分配转换成“归母权益 + 少数股东权益”的集团口径。</t>
        </is>
      </c>
    </row>
    <row r="29">
      <c r="A29" s="29" t="inlineStr">
        <is>
          <t>与工作底稿分录的对应关系</t>
        </is>
      </c>
    </row>
    <row r="30">
      <c r="A30" s="7" t="inlineStr">
        <is>
          <t>工作底稿步骤</t>
        </is>
      </c>
      <c r="B30" s="7" t="inlineStr">
        <is>
          <t>对合并权益表的影响</t>
        </is>
      </c>
      <c r="C30" s="7" t="n"/>
      <c r="D30" s="7" t="n"/>
      <c r="E30" s="7" t="n"/>
      <c r="F30" s="7" t="n"/>
      <c r="G30" s="7" t="n"/>
      <c r="H30" s="7" t="n"/>
    </row>
    <row r="31" ht="42" customHeight="1">
      <c r="A31" s="8" t="inlineStr">
        <is>
          <t>A. 成本法转权益法</t>
        </is>
      </c>
      <c r="B31" s="8" t="inlineStr">
        <is>
          <t>先把 P 对 S 的投资收益调至 800、长期股权投资调至 1,440；只是工作底稿模拟，不改 P 正式账。</t>
        </is>
      </c>
      <c r="C31" s="8" t="n"/>
      <c r="D31" s="8" t="n"/>
      <c r="E31" s="8" t="n"/>
      <c r="F31" s="8" t="n"/>
      <c r="G31" s="8" t="n"/>
      <c r="H31" s="8" t="n"/>
    </row>
    <row r="32" ht="42" customHeight="1">
      <c r="A32" s="8" t="inlineStr">
        <is>
          <t>B. 投资收益—利润分配桥梁</t>
        </is>
      </c>
      <c r="B32" s="8" t="inlineStr">
        <is>
          <t>抵销投资收益800；S利润1,000仅保留一次，并归属为归母800、少数股东200；同时衔接期初留存、提取、分配和期末留存。</t>
        </is>
      </c>
      <c r="C32" s="8" t="n"/>
      <c r="D32" s="8" t="n"/>
      <c r="E32" s="8" t="n"/>
      <c r="F32" s="8" t="n"/>
      <c r="G32" s="8" t="n"/>
      <c r="H32" s="8" t="n"/>
    </row>
    <row r="33" ht="42" customHeight="1">
      <c r="A33" s="8" t="inlineStr">
        <is>
          <t>C. 长投—子公司权益抵销</t>
        </is>
      </c>
      <c r="B33" s="8" t="inlineStr">
        <is>
          <t>消除 P 的长期股权投资和 S 的独立权益；最终不列 S 的股本/未分配利润，只列归母权益及少数股东权益。</t>
        </is>
      </c>
      <c r="C33" s="8" t="n"/>
      <c r="D33" s="8" t="n"/>
      <c r="E33" s="8" t="n"/>
      <c r="F33" s="8" t="n"/>
      <c r="G33" s="8" t="n"/>
      <c r="H33" s="8" t="n"/>
    </row>
  </sheetData>
  <mergeCells count="15">
    <mergeCell ref="B16:G16"/>
    <mergeCell ref="B32:H32"/>
    <mergeCell ref="A1:G1"/>
    <mergeCell ref="A29:H29"/>
    <mergeCell ref="B14:G14"/>
    <mergeCell ref="A2:H2"/>
    <mergeCell ref="B30:H30"/>
    <mergeCell ref="A19:H19"/>
    <mergeCell ref="B13:G13"/>
    <mergeCell ref="A1:H1"/>
    <mergeCell ref="B33:H33"/>
    <mergeCell ref="A27:H27"/>
    <mergeCell ref="A11:G11"/>
    <mergeCell ref="B15:G15"/>
    <mergeCell ref="B31:H31"/>
  </mergeCells>
  <pageMargins left="0.25" right="0.25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2026-08-19T06:04:15Z</dcterms:created>
  <dcterms:modified xmlns:dcterms="http://purl.org/dc/terms/" xmlns:xsi="http://www.w3.org/2001/XMLSchema-instance" xsi:type="dcterms:W3CDTF">2026-08-19T06:10:01Z</dcterms:modified>
</cp:coreProperties>
</file>